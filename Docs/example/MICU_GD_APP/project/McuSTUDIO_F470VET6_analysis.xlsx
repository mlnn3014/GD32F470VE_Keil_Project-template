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<sst xmlns="http://schemas.openxmlformats.org/spreadsheetml/2006/main" count="108" uniqueCount="82">
  <si>
    <t>McuSTUDIO_F470VET6</t>
  </si>
  <si>
    <t>ota_uart.o</t>
  </si>
  <si>
    <t>startup_gd32f450_470.o</t>
  </si>
  <si>
    <t>mcu_cmic_gd32f470vet6.o</t>
  </si>
  <si>
    <t>usart_app.o</t>
  </si>
  <si>
    <t>sd_app.o</t>
  </si>
  <si>
    <t>btn_app.o</t>
  </si>
  <si>
    <t>scheduler.o</t>
  </si>
  <si>
    <t>sdio_sdcard.o</t>
  </si>
  <si>
    <t>perf_counter.o</t>
  </si>
  <si>
    <t>ebtn.o</t>
  </si>
  <si>
    <t>oled.o</t>
  </si>
  <si>
    <t>gd32f4xx_pmu.o</t>
  </si>
  <si>
    <t>led_app.o</t>
  </si>
  <si>
    <t>ff.o</t>
  </si>
  <si>
    <t>systick.o</t>
  </si>
  <si>
    <t>system_gd32f4xx.o</t>
  </si>
  <si>
    <t>gd30ad3344.o</t>
  </si>
  <si>
    <t>mc_w.l</t>
  </si>
  <si>
    <t>printfa.o</t>
  </si>
  <si>
    <t>gd25qxx.o</t>
  </si>
  <si>
    <t>ccsbcs.o</t>
  </si>
  <si>
    <t>gd32f4xx_dma.o</t>
  </si>
  <si>
    <t>mf_w.l</t>
  </si>
  <si>
    <t>gd32f4xx_rcu.o</t>
  </si>
  <si>
    <t>gd32f4xx_usart.o</t>
  </si>
  <si>
    <t>gd32f4xx_adc.o</t>
  </si>
  <si>
    <t>gd32f4xx_sdio.o</t>
  </si>
  <si>
    <t>gd32f4xx_timer.o</t>
  </si>
  <si>
    <t>gd32f4xx_i2c.o</t>
  </si>
  <si>
    <t>gd32f4xx_rtc.o</t>
  </si>
  <si>
    <t>gd32f4xx_fmc.o</t>
  </si>
  <si>
    <t>main.o</t>
  </si>
  <si>
    <t>ring_buffer.o</t>
  </si>
  <si>
    <t>gd32f4xx_misc.o</t>
  </si>
  <si>
    <t>dadd.o</t>
  </si>
  <si>
    <t>diskio.o</t>
  </si>
  <si>
    <t>gd32f4xx_gpio.o</t>
  </si>
  <si>
    <t>gd32f4xx_it.o</t>
  </si>
  <si>
    <t>dmul.o</t>
  </si>
  <si>
    <t>gd32f4xx_exti.o</t>
  </si>
  <si>
    <t>ddiv.o</t>
  </si>
  <si>
    <t>gd32f4xx_dac.o</t>
  </si>
  <si>
    <t>oled_app.o</t>
  </si>
  <si>
    <t>depilogue.o</t>
  </si>
  <si>
    <t>perfc_port_default.o</t>
  </si>
  <si>
    <t>gd32f4xx_syscfg.o</t>
  </si>
  <si>
    <t>gd32f4xx_spi.o</t>
  </si>
  <si>
    <t>adc_app.o</t>
  </si>
  <si>
    <t>uldiv.o</t>
  </si>
  <si>
    <t>ldiv.o</t>
  </si>
  <si>
    <t>__dczerorl2.o</t>
  </si>
  <si>
    <t>rtc_app.o</t>
  </si>
  <si>
    <t>dfixul.o</t>
  </si>
  <si>
    <t>cdrcmple.o</t>
  </si>
  <si>
    <t>uidiv.o</t>
  </si>
  <si>
    <t>f2d.o</t>
  </si>
  <si>
    <t>memseta.o</t>
  </si>
  <si>
    <t>memcpya.o</t>
  </si>
  <si>
    <t>llsshr.o</t>
  </si>
  <si>
    <t>init.o</t>
  </si>
  <si>
    <t>llushr.o</t>
  </si>
  <si>
    <t>cpp_init.o</t>
  </si>
  <si>
    <t>systick_wrapper_ual.o</t>
  </si>
  <si>
    <t>llshl.o</t>
  </si>
  <si>
    <t>handlers.o</t>
  </si>
  <si>
    <t>memcmp.o</t>
  </si>
  <si>
    <t>strlen.o</t>
  </si>
  <si>
    <t>entry9a.o</t>
  </si>
  <si>
    <t>entry2.o</t>
  </si>
  <si>
    <t>entry8a.o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</si>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</sst>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ram_percent!$A$3:$A$74</c:f>
              <c:strCache>
                <c:ptCount val="72"/>
                <c:pt idx="0">
                  <c:v>ota_uart.o</c:v>
                </c:pt>
                <c:pt idx="1">
                  <c:v>startup_gd32f450_470.o</c:v>
                </c:pt>
                <c:pt idx="2">
                  <c:v>mcu_cmic_gd32f470vet6.o</c:v>
                </c:pt>
                <c:pt idx="3">
                  <c:v>usart_app.o</c:v>
                </c:pt>
                <c:pt idx="4">
                  <c:v>sd_app.o</c:v>
                </c:pt>
                <c:pt idx="5">
                  <c:v>btn_app.o</c:v>
                </c:pt>
                <c:pt idx="6">
                  <c:v>scheduler.o</c:v>
                </c:pt>
                <c:pt idx="7">
                  <c:v>sdio_sdcard.o</c:v>
                </c:pt>
                <c:pt idx="8">
                  <c:v>perf_counter.o</c:v>
                </c:pt>
                <c:pt idx="9">
                  <c:v>ebtn.o</c:v>
                </c:pt>
                <c:pt idx="10">
                  <c:v>oled.o</c:v>
                </c:pt>
                <c:pt idx="11">
                  <c:v>gd32f4xx_pmu.o</c:v>
                </c:pt>
                <c:pt idx="12">
                  <c:v>led_app.o</c:v>
                </c:pt>
                <c:pt idx="13">
                  <c:v>ff.o</c:v>
                </c:pt>
                <c:pt idx="14">
                  <c:v>systick.o</c:v>
                </c:pt>
                <c:pt idx="15">
                  <c:v>system_gd32f4xx.o</c:v>
                </c:pt>
                <c:pt idx="16">
                  <c:v>gd30ad3344.o</c:v>
                </c:pt>
                <c:pt idx="71">
                  <c:v>Totals</c:v>
                </c:pt>
              </c:strCache>
            </c:strRef>
          </c:cat>
          <c:val>
            <c:numRef>
              <c:f>ram_percent!$B$3:$B$74</c:f>
              <c:numCache>
                <c:formatCode>General</c:formatCode>
                <c:ptCount val="72"/>
                <c:pt idx="0">
                  <c:v>57.10946655273438</c:v>
                </c:pt>
                <c:pt idx="1">
                  <c:v>22.79481315612793</c:v>
                </c:pt>
                <c:pt idx="2">
                  <c:v>7.423896789550781</c:v>
                </c:pt>
                <c:pt idx="3">
                  <c:v>7.167900085449219</c:v>
                </c:pt>
                <c:pt idx="4">
                  <c:v>4.040291786193848</c:v>
                </c:pt>
                <c:pt idx="5">
                  <c:v>0.5453836917877197</c:v>
                </c:pt>
                <c:pt idx="6">
                  <c:v>0.2114753127098084</c:v>
                </c:pt>
                <c:pt idx="7">
                  <c:v>0.1892147660255432</c:v>
                </c:pt>
                <c:pt idx="8">
                  <c:v>0.1780844777822495</c:v>
                </c:pt>
                <c:pt idx="9">
                  <c:v>0.1669542044401169</c:v>
                </c:pt>
                <c:pt idx="10">
                  <c:v>0.06399910897016525</c:v>
                </c:pt>
                <c:pt idx="11">
                  <c:v>0.04452111944556236</c:v>
                </c:pt>
                <c:pt idx="12">
                  <c:v>0.01947798952460289</c:v>
                </c:pt>
                <c:pt idx="13">
                  <c:v>0.0166954193264246</c:v>
                </c:pt>
                <c:pt idx="14">
                  <c:v>0.01113027986139059</c:v>
                </c:pt>
                <c:pt idx="15">
                  <c:v>0.01113027986139059</c:v>
                </c:pt>
                <c:pt idx="16">
                  <c:v>0.005565139930695295</c:v>
                </c:pt>
                <c:pt idx="7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flash_percent!$A$3:$A$74</c:f>
              <c:strCache>
                <c:ptCount val="72"/>
                <c:pt idx="0">
                  <c:v>sdio_sdcard.o</c:v>
                </c:pt>
                <c:pt idx="1">
                  <c:v>ff.o</c:v>
                </c:pt>
                <c:pt idx="2">
                  <c:v>oled.o</c:v>
                </c:pt>
                <c:pt idx="3">
                  <c:v>ota_uart.o</c:v>
                </c:pt>
                <c:pt idx="4">
                  <c:v>mc_w.l</c:v>
                </c:pt>
                <c:pt idx="5">
                  <c:v>mcu_cmic_gd32f470vet6.o</c:v>
                </c:pt>
                <c:pt idx="6">
                  <c:v>sd_app.o</c:v>
                </c:pt>
                <c:pt idx="7">
                  <c:v>printfa.o</c:v>
                </c:pt>
                <c:pt idx="8">
                  <c:v>ebtn.o</c:v>
                </c:pt>
                <c:pt idx="9">
                  <c:v>gd25qxx.o</c:v>
                </c:pt>
                <c:pt idx="10">
                  <c:v>ccsbcs.o</c:v>
                </c:pt>
                <c:pt idx="11">
                  <c:v>gd32f4xx_dma.o</c:v>
                </c:pt>
                <c:pt idx="12">
                  <c:v>mf_w.l</c:v>
                </c:pt>
                <c:pt idx="13">
                  <c:v>system_gd32f4xx.o</c:v>
                </c:pt>
                <c:pt idx="14">
                  <c:v>gd30ad3344.o</c:v>
                </c:pt>
                <c:pt idx="15">
                  <c:v>perf_counter.o</c:v>
                </c:pt>
                <c:pt idx="16">
                  <c:v>gd32f4xx_rcu.o</c:v>
                </c:pt>
                <c:pt idx="17">
                  <c:v>gd32f4xx_usart.o</c:v>
                </c:pt>
                <c:pt idx="18">
                  <c:v>gd32f4xx_adc.o</c:v>
                </c:pt>
                <c:pt idx="19">
                  <c:v>gd32f4xx_sdio.o</c:v>
                </c:pt>
                <c:pt idx="20">
                  <c:v>gd32f4xx_timer.o</c:v>
                </c:pt>
                <c:pt idx="21">
                  <c:v>btn_app.o</c:v>
                </c:pt>
                <c:pt idx="22">
                  <c:v>gd32f4xx_i2c.o</c:v>
                </c:pt>
                <c:pt idx="23">
                  <c:v>gd32f4xx_rtc.o</c:v>
                </c:pt>
                <c:pt idx="24">
                  <c:v>gd32f4xx_fmc.o</c:v>
                </c:pt>
                <c:pt idx="25">
                  <c:v>usart_app.o</c:v>
                </c:pt>
                <c:pt idx="26">
                  <c:v>startup_gd32f450_470.o</c:v>
                </c:pt>
                <c:pt idx="27">
                  <c:v>main.o</c:v>
                </c:pt>
                <c:pt idx="28">
                  <c:v>ring_buffer.o</c:v>
                </c:pt>
                <c:pt idx="29">
                  <c:v>gd32f4xx_misc.o</c:v>
                </c:pt>
                <c:pt idx="30">
                  <c:v>dadd.o</c:v>
                </c:pt>
                <c:pt idx="31">
                  <c:v>diskio.o</c:v>
                </c:pt>
                <c:pt idx="32">
                  <c:v>gd32f4xx_pmu.o</c:v>
                </c:pt>
                <c:pt idx="33">
                  <c:v>led_app.o</c:v>
                </c:pt>
                <c:pt idx="34">
                  <c:v>gd32f4xx_gpio.o</c:v>
                </c:pt>
                <c:pt idx="35">
                  <c:v>gd32f4xx_it.o</c:v>
                </c:pt>
                <c:pt idx="36">
                  <c:v>dmul.o</c:v>
                </c:pt>
                <c:pt idx="37">
                  <c:v>gd32f4xx_exti.o</c:v>
                </c:pt>
                <c:pt idx="38">
                  <c:v>ddiv.o</c:v>
                </c:pt>
                <c:pt idx="39">
                  <c:v>gd32f4xx_dac.o</c:v>
                </c:pt>
                <c:pt idx="40">
                  <c:v>oled_app.o</c:v>
                </c:pt>
                <c:pt idx="41">
                  <c:v>depilogue.o</c:v>
                </c:pt>
                <c:pt idx="42">
                  <c:v>perfc_port_default.o</c:v>
                </c:pt>
                <c:pt idx="43">
                  <c:v>scheduler.o</c:v>
                </c:pt>
                <c:pt idx="44">
                  <c:v>gd32f4xx_syscfg.o</c:v>
                </c:pt>
                <c:pt idx="45">
                  <c:v>systick.o</c:v>
                </c:pt>
                <c:pt idx="46">
                  <c:v>gd32f4xx_spi.o</c:v>
                </c:pt>
                <c:pt idx="47">
                  <c:v>adc_app.o</c:v>
                </c:pt>
                <c:pt idx="48">
                  <c:v>uldiv.o</c:v>
                </c:pt>
                <c:pt idx="49">
                  <c:v>ldiv.o</c:v>
                </c:pt>
                <c:pt idx="50">
                  <c:v>__dczerorl2.o</c:v>
                </c:pt>
                <c:pt idx="51">
                  <c:v>rtc_app.o</c:v>
                </c:pt>
                <c:pt idx="52">
                  <c:v>dfixul.o</c:v>
                </c:pt>
                <c:pt idx="53">
                  <c:v>cdrcmple.o</c:v>
                </c:pt>
                <c:pt idx="54">
                  <c:v>uidiv.o</c:v>
                </c:pt>
                <c:pt idx="55">
                  <c:v>f2d.o</c:v>
                </c:pt>
                <c:pt idx="56">
                  <c:v>memseta.o</c:v>
                </c:pt>
                <c:pt idx="57">
                  <c:v>memcpya.o</c:v>
                </c:pt>
                <c:pt idx="58">
                  <c:v>llsshr.o</c:v>
                </c:pt>
                <c:pt idx="59">
                  <c:v>init.o</c:v>
                </c:pt>
                <c:pt idx="60">
                  <c:v>llushr.o</c:v>
                </c:pt>
                <c:pt idx="61">
                  <c:v>cpp_init.o</c:v>
                </c:pt>
                <c:pt idx="62">
                  <c:v>systick_wrapper_ual.o</c:v>
                </c:pt>
                <c:pt idx="63">
                  <c:v>llshl.o</c:v>
                </c:pt>
                <c:pt idx="64">
                  <c:v>handlers.o</c:v>
                </c:pt>
                <c:pt idx="65">
                  <c:v>memcmp.o</c:v>
                </c:pt>
                <c:pt idx="66">
                  <c:v>strlen.o</c:v>
                </c:pt>
                <c:pt idx="67">
                  <c:v>entry9a.o</c:v>
                </c:pt>
                <c:pt idx="68">
                  <c:v>entry2.o</c:v>
                </c:pt>
                <c:pt idx="69">
                  <c:v>entry8a.o</c:v>
                </c:pt>
                <c:pt idx="70">
                  <c:v>entry5.o</c:v>
                </c:pt>
                <c:pt idx="71">
                  <c:v>Totals</c:v>
                </c:pt>
              </c:strCache>
            </c:strRef>
          </c:cat>
          <c:val>
            <c:numRef>
              <c:f>flash_percent!$B$3:$B$74</c:f>
              <c:numCache>
                <c:formatCode>General</c:formatCode>
                <c:ptCount val="72"/>
                <c:pt idx="0">
                  <c:v>13.19642162322998</c:v>
                </c:pt>
                <c:pt idx="1">
                  <c:v>11.7434196472168</c:v>
                </c:pt>
                <c:pt idx="2">
                  <c:v>7.937324523925781</c:v>
                </c:pt>
                <c:pt idx="3">
                  <c:v>5.804662227630615</c:v>
                </c:pt>
                <c:pt idx="4">
                  <c:v>5.510755062103272</c:v>
                </c:pt>
                <c:pt idx="5">
                  <c:v>5.040503978729248</c:v>
                </c:pt>
                <c:pt idx="6">
                  <c:v>4.485754489898682</c:v>
                </c:pt>
                <c:pt idx="7">
                  <c:v>4.30206298828125</c:v>
                </c:pt>
                <c:pt idx="8">
                  <c:v>3.802421092987061</c:v>
                </c:pt>
                <c:pt idx="9">
                  <c:v>3.243997812271118</c:v>
                </c:pt>
                <c:pt idx="10">
                  <c:v>2.476166009902954</c:v>
                </c:pt>
                <c:pt idx="11">
                  <c:v>2.450449228286743</c:v>
                </c:pt>
                <c:pt idx="12">
                  <c:v>2.027957916259766</c:v>
                </c:pt>
                <c:pt idx="13">
                  <c:v>1.781810879707336</c:v>
                </c:pt>
                <c:pt idx="14">
                  <c:v>1.730377078056335</c:v>
                </c:pt>
                <c:pt idx="15">
                  <c:v>1.675269603729248</c:v>
                </c:pt>
                <c:pt idx="16">
                  <c:v>1.594445109367371</c:v>
                </c:pt>
                <c:pt idx="17">
                  <c:v>1.256452202796936</c:v>
                </c:pt>
                <c:pt idx="18">
                  <c:v>1.238083004951477</c:v>
                </c:pt>
                <c:pt idx="19">
                  <c:v>1.190323114395142</c:v>
                </c:pt>
                <c:pt idx="20">
                  <c:v>1.098477244377136</c:v>
                </c:pt>
                <c:pt idx="21">
                  <c:v>1.050717353820801</c:v>
                </c:pt>
                <c:pt idx="22">
                  <c:v>0.9294807314872742</c:v>
                </c:pt>
                <c:pt idx="23">
                  <c:v>0.8890684843063355</c:v>
                </c:pt>
                <c:pt idx="24">
                  <c:v>0.8890684843063355</c:v>
                </c:pt>
                <c:pt idx="25">
                  <c:v>0.8523301482200623</c:v>
                </c:pt>
                <c:pt idx="26">
                  <c:v>0.8523301482200623</c:v>
                </c:pt>
                <c:pt idx="27">
                  <c:v>0.7788534164428711</c:v>
                </c:pt>
                <c:pt idx="28">
                  <c:v>0.7127243280410767</c:v>
                </c:pt>
                <c:pt idx="29">
                  <c:v>0.6245522499084473</c:v>
                </c:pt>
                <c:pt idx="30">
                  <c:v>0.6135307550430298</c:v>
                </c:pt>
                <c:pt idx="31">
                  <c:v>0.5804662108421326</c:v>
                </c:pt>
                <c:pt idx="32">
                  <c:v>0.5731185078620911</c:v>
                </c:pt>
                <c:pt idx="33">
                  <c:v>0.5198479294776917</c:v>
                </c:pt>
                <c:pt idx="34">
                  <c:v>0.4849464595317841</c:v>
                </c:pt>
                <c:pt idx="35">
                  <c:v>0.4518819153308868</c:v>
                </c:pt>
                <c:pt idx="36">
                  <c:v>0.418817400932312</c:v>
                </c:pt>
                <c:pt idx="37">
                  <c:v>0.4114697277545929</c:v>
                </c:pt>
                <c:pt idx="38">
                  <c:v>0.4077958762645721</c:v>
                </c:pt>
                <c:pt idx="39">
                  <c:v>0.3637098371982575</c:v>
                </c:pt>
                <c:pt idx="40">
                  <c:v>0.3600360155105591</c:v>
                </c:pt>
                <c:pt idx="41">
                  <c:v>0.3416668176651001</c:v>
                </c:pt>
                <c:pt idx="42">
                  <c:v>0.334319144487381</c:v>
                </c:pt>
                <c:pt idx="43">
                  <c:v>0.3232976496219635</c:v>
                </c:pt>
                <c:pt idx="44">
                  <c:v>0.3159499764442444</c:v>
                </c:pt>
                <c:pt idx="45">
                  <c:v>0.3086023032665253</c:v>
                </c:pt>
                <c:pt idx="46">
                  <c:v>0.209408700466156</c:v>
                </c:pt>
                <c:pt idx="47">
                  <c:v>0.1910395175218582</c:v>
                </c:pt>
                <c:pt idx="48">
                  <c:v>0.1800180077552795</c:v>
                </c:pt>
                <c:pt idx="49">
                  <c:v>0.1800180077552795</c:v>
                </c:pt>
                <c:pt idx="50">
                  <c:v>0.1579749882221222</c:v>
                </c:pt>
                <c:pt idx="51">
                  <c:v>0.1102151051163673</c:v>
                </c:pt>
                <c:pt idx="52">
                  <c:v>0.08817208558320999</c:v>
                </c:pt>
                <c:pt idx="53">
                  <c:v>0.08817208558320999</c:v>
                </c:pt>
                <c:pt idx="54">
                  <c:v>0.08082441240549088</c:v>
                </c:pt>
                <c:pt idx="55">
                  <c:v>0.0698028951883316</c:v>
                </c:pt>
                <c:pt idx="56">
                  <c:v>0.06612905859947205</c:v>
                </c:pt>
                <c:pt idx="57">
                  <c:v>0.06612905859947205</c:v>
                </c:pt>
                <c:pt idx="58">
                  <c:v>0.06612905859947205</c:v>
                </c:pt>
                <c:pt idx="59">
                  <c:v>0.06612905859947205</c:v>
                </c:pt>
                <c:pt idx="60">
                  <c:v>0.05878138914704323</c:v>
                </c:pt>
                <c:pt idx="61">
                  <c:v>0.05878138914704323</c:v>
                </c:pt>
                <c:pt idx="62">
                  <c:v>0.05878138914704323</c:v>
                </c:pt>
                <c:pt idx="63">
                  <c:v>0.05510755255818367</c:v>
                </c:pt>
                <c:pt idx="64">
                  <c:v>0.05510755255818367</c:v>
                </c:pt>
                <c:pt idx="65">
                  <c:v>0.04775987938046455</c:v>
                </c:pt>
                <c:pt idx="66">
                  <c:v>0.02571685798466206</c:v>
                </c:pt>
                <c:pt idx="67">
                  <c:v>0.01469534728676081</c:v>
                </c:pt>
                <c:pt idx="68">
                  <c:v>0.01469534728676081</c:v>
                </c:pt>
                <c:pt idx="69">
                  <c:v>0.007347673643380404</c:v>
                </c:pt>
                <c:pt idx="70">
                  <c:v>0.007347673643380404</c:v>
                </c:pt>
                <c:pt idx="71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74" totalsRowCount="1">
  <autoFilter ref="A2:H73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74" totalsRowCount="1">
  <autoFilter ref="A2:H73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72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</row>
    <row r="3" spans="1:8">
      <c r="A3" s="1" t="s">
        <v>1</v>
      </c>
      <c r="B3" s="2">
        <v>57.10946655273438</v>
      </c>
      <c r="C3" s="1">
        <v>20524</v>
      </c>
      <c r="D3" s="1">
        <v>3160</v>
      </c>
      <c r="E3" s="1">
        <v>3160</v>
      </c>
      <c r="F3" s="1">
        <v>0</v>
      </c>
      <c r="G3" s="1">
        <v>0</v>
      </c>
      <c r="H3" s="1">
        <v>20524</v>
      </c>
    </row>
    <row r="4" spans="1:8">
      <c r="A4" s="1" t="s">
        <v>2</v>
      </c>
      <c r="B4" s="2">
        <v>22.79481315612793</v>
      </c>
      <c r="C4" s="1">
        <v>8192</v>
      </c>
      <c r="D4" s="1">
        <v>464</v>
      </c>
      <c r="E4" s="1">
        <v>36</v>
      </c>
      <c r="F4" s="1">
        <v>428</v>
      </c>
      <c r="G4" s="1">
        <v>0</v>
      </c>
      <c r="H4" s="1">
        <v>8192</v>
      </c>
    </row>
    <row r="5" spans="1:8">
      <c r="A5" s="1" t="s">
        <v>3</v>
      </c>
      <c r="B5" s="2">
        <v>7.423896789550781</v>
      </c>
      <c r="C5" s="1">
        <v>2668</v>
      </c>
      <c r="D5" s="1">
        <v>2744</v>
      </c>
      <c r="E5" s="1">
        <v>2720</v>
      </c>
      <c r="F5" s="1">
        <v>0</v>
      </c>
      <c r="G5" s="1">
        <v>24</v>
      </c>
      <c r="H5" s="1">
        <v>2644</v>
      </c>
    </row>
    <row r="6" spans="1:8">
      <c r="A6" s="1" t="s">
        <v>4</v>
      </c>
      <c r="B6" s="2">
        <v>7.167900085449219</v>
      </c>
      <c r="C6" s="1">
        <v>2576</v>
      </c>
      <c r="D6" s="1">
        <v>464</v>
      </c>
      <c r="E6" s="1">
        <v>448</v>
      </c>
      <c r="F6" s="1">
        <v>0</v>
      </c>
      <c r="G6" s="1">
        <v>16</v>
      </c>
      <c r="H6" s="1">
        <v>2560</v>
      </c>
    </row>
    <row r="7" spans="1:8">
      <c r="A7" s="1" t="s">
        <v>5</v>
      </c>
      <c r="B7" s="2">
        <v>4.040291786193848</v>
      </c>
      <c r="C7" s="1">
        <v>1452</v>
      </c>
      <c r="D7" s="1">
        <v>2442</v>
      </c>
      <c r="E7" s="1">
        <v>2230</v>
      </c>
      <c r="F7" s="1">
        <v>196</v>
      </c>
      <c r="G7" s="1">
        <v>16</v>
      </c>
      <c r="H7" s="1">
        <v>1436</v>
      </c>
    </row>
    <row r="8" spans="1:8">
      <c r="A8" s="1" t="s">
        <v>6</v>
      </c>
      <c r="B8" s="2">
        <v>0.5453836917877197</v>
      </c>
      <c r="C8" s="1">
        <v>196</v>
      </c>
      <c r="D8" s="1">
        <v>572</v>
      </c>
      <c r="E8" s="1">
        <v>362</v>
      </c>
      <c r="F8" s="1">
        <v>14</v>
      </c>
      <c r="G8" s="1">
        <v>196</v>
      </c>
      <c r="H8" s="1">
        <v>0</v>
      </c>
    </row>
    <row r="9" spans="1:8">
      <c r="A9" s="1" t="s">
        <v>7</v>
      </c>
      <c r="B9" s="2">
        <v>0.2114753127098084</v>
      </c>
      <c r="C9" s="1">
        <v>76</v>
      </c>
      <c r="D9" s="1">
        <v>176</v>
      </c>
      <c r="E9" s="1">
        <v>100</v>
      </c>
      <c r="F9" s="1">
        <v>0</v>
      </c>
      <c r="G9" s="1">
        <v>76</v>
      </c>
      <c r="H9" s="1">
        <v>0</v>
      </c>
    </row>
    <row r="10" spans="1:8">
      <c r="A10" s="1" t="s">
        <v>8</v>
      </c>
      <c r="B10" s="2">
        <v>0.1892147660255432</v>
      </c>
      <c r="C10" s="1">
        <v>68</v>
      </c>
      <c r="D10" s="1">
        <v>7184</v>
      </c>
      <c r="E10" s="1">
        <v>7148</v>
      </c>
      <c r="F10" s="1">
        <v>0</v>
      </c>
      <c r="G10" s="1">
        <v>36</v>
      </c>
      <c r="H10" s="1">
        <v>32</v>
      </c>
    </row>
    <row r="11" spans="1:8">
      <c r="A11" s="1" t="s">
        <v>9</v>
      </c>
      <c r="B11" s="2">
        <v>0.1780844777822495</v>
      </c>
      <c r="C11" s="1">
        <v>64</v>
      </c>
      <c r="D11" s="1">
        <v>912</v>
      </c>
      <c r="E11" s="1">
        <v>844</v>
      </c>
      <c r="F11" s="1">
        <v>4</v>
      </c>
      <c r="G11" s="1">
        <v>64</v>
      </c>
      <c r="H11" s="1">
        <v>0</v>
      </c>
    </row>
    <row r="12" spans="1:8">
      <c r="A12" s="1" t="s">
        <v>10</v>
      </c>
      <c r="B12" s="2">
        <v>0.1669542044401169</v>
      </c>
      <c r="C12" s="1">
        <v>60</v>
      </c>
      <c r="D12" s="1">
        <v>2070</v>
      </c>
      <c r="E12" s="1">
        <v>2070</v>
      </c>
      <c r="F12" s="1">
        <v>0</v>
      </c>
      <c r="G12" s="1">
        <v>0</v>
      </c>
      <c r="H12" s="1">
        <v>60</v>
      </c>
    </row>
    <row r="13" spans="1:8">
      <c r="A13" s="1" t="s">
        <v>11</v>
      </c>
      <c r="B13" s="2">
        <v>0.06399910897016525</v>
      </c>
      <c r="C13" s="1">
        <v>23</v>
      </c>
      <c r="D13" s="1">
        <v>4321</v>
      </c>
      <c r="E13" s="1">
        <v>1586</v>
      </c>
      <c r="F13" s="1">
        <v>2712</v>
      </c>
      <c r="G13" s="1">
        <v>23</v>
      </c>
      <c r="H13" s="1">
        <v>0</v>
      </c>
    </row>
    <row r="14" spans="1:8">
      <c r="A14" s="1" t="s">
        <v>12</v>
      </c>
      <c r="B14" s="2">
        <v>0.04452111944556236</v>
      </c>
      <c r="C14" s="1">
        <v>16</v>
      </c>
      <c r="D14" s="1">
        <v>312</v>
      </c>
      <c r="E14" s="1">
        <v>312</v>
      </c>
      <c r="F14" s="1">
        <v>0</v>
      </c>
      <c r="G14" s="1">
        <v>0</v>
      </c>
      <c r="H14" s="1">
        <v>16</v>
      </c>
    </row>
    <row r="15" spans="1:8">
      <c r="A15" s="1" t="s">
        <v>13</v>
      </c>
      <c r="B15" s="2">
        <v>0.01947798952460289</v>
      </c>
      <c r="C15" s="1">
        <v>7</v>
      </c>
      <c r="D15" s="1">
        <v>283</v>
      </c>
      <c r="E15" s="1">
        <v>276</v>
      </c>
      <c r="F15" s="1">
        <v>0</v>
      </c>
      <c r="G15" s="1">
        <v>7</v>
      </c>
      <c r="H15" s="1">
        <v>0</v>
      </c>
    </row>
    <row r="16" spans="1:8">
      <c r="A16" s="1" t="s">
        <v>14</v>
      </c>
      <c r="B16" s="2">
        <v>0.0166954193264246</v>
      </c>
      <c r="C16" s="1">
        <v>6</v>
      </c>
      <c r="D16" s="1">
        <v>6393</v>
      </c>
      <c r="E16" s="1">
        <v>6246</v>
      </c>
      <c r="F16" s="1">
        <v>141</v>
      </c>
      <c r="G16" s="1">
        <v>6</v>
      </c>
      <c r="H16" s="1">
        <v>0</v>
      </c>
    </row>
    <row r="17" spans="1:8">
      <c r="A17" s="1" t="s">
        <v>15</v>
      </c>
      <c r="B17" s="2">
        <v>0.01113027986139059</v>
      </c>
      <c r="C17" s="1">
        <v>4</v>
      </c>
      <c r="D17" s="1">
        <v>168</v>
      </c>
      <c r="E17" s="1">
        <v>164</v>
      </c>
      <c r="F17" s="1">
        <v>0</v>
      </c>
      <c r="G17" s="1">
        <v>4</v>
      </c>
      <c r="H17" s="1">
        <v>0</v>
      </c>
    </row>
    <row r="18" spans="1:8">
      <c r="A18" s="1" t="s">
        <v>16</v>
      </c>
      <c r="B18" s="2">
        <v>0.01113027986139059</v>
      </c>
      <c r="C18" s="1">
        <v>4</v>
      </c>
      <c r="D18" s="1">
        <v>970</v>
      </c>
      <c r="E18" s="1">
        <v>966</v>
      </c>
      <c r="F18" s="1">
        <v>0</v>
      </c>
      <c r="G18" s="1">
        <v>4</v>
      </c>
      <c r="H18" s="1">
        <v>0</v>
      </c>
    </row>
    <row r="19" spans="1:8">
      <c r="A19" s="1" t="s">
        <v>17</v>
      </c>
      <c r="B19" s="2">
        <v>0.005565139930695295</v>
      </c>
      <c r="C19" s="1">
        <v>2</v>
      </c>
      <c r="D19" s="1">
        <v>942</v>
      </c>
      <c r="E19" s="1">
        <v>940</v>
      </c>
      <c r="F19" s="1">
        <v>0</v>
      </c>
      <c r="G19" s="1">
        <v>2</v>
      </c>
      <c r="H19" s="1">
        <v>0</v>
      </c>
    </row>
    <row r="74" spans="1:8">
      <c r="A74" t="s">
        <v>73</v>
      </c>
      <c r="B74">
        <f>SUBTOTAL(109,[ram_percent])</f>
        <v>0</v>
      </c>
      <c r="C74">
        <f>SUBTOTAL(109,[ram])</f>
        <v>0</v>
      </c>
      <c r="D74">
        <f>SUBTOTAL(109,[flash])</f>
        <v>0</v>
      </c>
      <c r="E74">
        <f>SUBTOTAL(109,[Code])</f>
        <v>0</v>
      </c>
      <c r="F74">
        <f>SUBTOTAL(109,[RO_data])</f>
        <v>0</v>
      </c>
      <c r="G74">
        <f>SUBTOTAL(109,[RW_data])</f>
        <v>0</v>
      </c>
      <c r="H7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72</v>
      </c>
      <c r="B2" t="s">
        <v>81</v>
      </c>
      <c r="C2" t="s">
        <v>76</v>
      </c>
      <c r="D2" t="s">
        <v>75</v>
      </c>
      <c r="E2" t="s">
        <v>77</v>
      </c>
      <c r="F2" t="s">
        <v>78</v>
      </c>
      <c r="G2" t="s">
        <v>79</v>
      </c>
      <c r="H2" t="s">
        <v>80</v>
      </c>
    </row>
    <row r="3" spans="1:8">
      <c r="A3" s="1" t="s">
        <v>8</v>
      </c>
      <c r="B3" s="2">
        <v>13.19642162322998</v>
      </c>
      <c r="C3" s="1">
        <v>7184</v>
      </c>
      <c r="D3" s="1">
        <v>68</v>
      </c>
      <c r="E3" s="1">
        <v>7148</v>
      </c>
      <c r="F3" s="1">
        <v>0</v>
      </c>
      <c r="G3" s="1">
        <v>36</v>
      </c>
      <c r="H3" s="1">
        <v>32</v>
      </c>
    </row>
    <row r="4" spans="1:8">
      <c r="A4" s="1" t="s">
        <v>14</v>
      </c>
      <c r="B4" s="2">
        <v>11.7434196472168</v>
      </c>
      <c r="C4" s="1">
        <v>6393</v>
      </c>
      <c r="D4" s="1">
        <v>6</v>
      </c>
      <c r="E4" s="1">
        <v>6246</v>
      </c>
      <c r="F4" s="1">
        <v>141</v>
      </c>
      <c r="G4" s="1">
        <v>6</v>
      </c>
      <c r="H4" s="1">
        <v>0</v>
      </c>
    </row>
    <row r="5" spans="1:8">
      <c r="A5" s="1" t="s">
        <v>11</v>
      </c>
      <c r="B5" s="2">
        <v>7.937324523925781</v>
      </c>
      <c r="C5" s="1">
        <v>4321</v>
      </c>
      <c r="D5" s="1">
        <v>23</v>
      </c>
      <c r="E5" s="1">
        <v>1586</v>
      </c>
      <c r="F5" s="1">
        <v>2712</v>
      </c>
      <c r="G5" s="1">
        <v>23</v>
      </c>
      <c r="H5" s="1">
        <v>0</v>
      </c>
    </row>
    <row r="6" spans="1:8">
      <c r="A6" s="1" t="s">
        <v>1</v>
      </c>
      <c r="B6" s="2">
        <v>5.804662227630615</v>
      </c>
      <c r="C6" s="1">
        <v>3160</v>
      </c>
      <c r="D6" s="1">
        <v>20524</v>
      </c>
      <c r="E6" s="1">
        <v>3160</v>
      </c>
      <c r="F6" s="1">
        <v>0</v>
      </c>
      <c r="G6" s="1">
        <v>0</v>
      </c>
      <c r="H6" s="1">
        <v>20524</v>
      </c>
    </row>
    <row r="7" spans="1:8">
      <c r="A7" s="1" t="s">
        <v>18</v>
      </c>
      <c r="B7" s="2">
        <v>5.510755062103272</v>
      </c>
      <c r="C7" s="1">
        <v>3000</v>
      </c>
      <c r="D7" s="1">
        <v>0</v>
      </c>
      <c r="E7" s="1">
        <v>3000</v>
      </c>
      <c r="F7" s="1">
        <v>0</v>
      </c>
      <c r="G7" s="1">
        <v>0</v>
      </c>
      <c r="H7" s="1">
        <v>0</v>
      </c>
    </row>
    <row r="8" spans="1:8">
      <c r="A8" s="1" t="s">
        <v>3</v>
      </c>
      <c r="B8" s="2">
        <v>5.040503978729248</v>
      </c>
      <c r="C8" s="1">
        <v>2744</v>
      </c>
      <c r="D8" s="1">
        <v>2668</v>
      </c>
      <c r="E8" s="1">
        <v>2720</v>
      </c>
      <c r="F8" s="1">
        <v>0</v>
      </c>
      <c r="G8" s="1">
        <v>24</v>
      </c>
      <c r="H8" s="1">
        <v>2644</v>
      </c>
    </row>
    <row r="9" spans="1:8">
      <c r="A9" s="1" t="s">
        <v>5</v>
      </c>
      <c r="B9" s="2">
        <v>4.485754489898682</v>
      </c>
      <c r="C9" s="1">
        <v>2442</v>
      </c>
      <c r="D9" s="1">
        <v>1452</v>
      </c>
      <c r="E9" s="1">
        <v>2230</v>
      </c>
      <c r="F9" s="1">
        <v>196</v>
      </c>
      <c r="G9" s="1">
        <v>16</v>
      </c>
      <c r="H9" s="1">
        <v>1436</v>
      </c>
    </row>
    <row r="10" spans="1:8">
      <c r="A10" s="1" t="s">
        <v>19</v>
      </c>
      <c r="B10" s="2">
        <v>4.30206298828125</v>
      </c>
      <c r="C10" s="1">
        <v>2342</v>
      </c>
      <c r="D10" s="1">
        <v>0</v>
      </c>
      <c r="E10" s="1">
        <v>2342</v>
      </c>
      <c r="F10" s="1">
        <v>0</v>
      </c>
      <c r="G10" s="1">
        <v>0</v>
      </c>
      <c r="H10" s="1">
        <v>0</v>
      </c>
    </row>
    <row r="11" spans="1:8">
      <c r="A11" s="1" t="s">
        <v>10</v>
      </c>
      <c r="B11" s="2">
        <v>3.802421092987061</v>
      </c>
      <c r="C11" s="1">
        <v>2070</v>
      </c>
      <c r="D11" s="1">
        <v>60</v>
      </c>
      <c r="E11" s="1">
        <v>2070</v>
      </c>
      <c r="F11" s="1">
        <v>0</v>
      </c>
      <c r="G11" s="1">
        <v>0</v>
      </c>
      <c r="H11" s="1">
        <v>60</v>
      </c>
    </row>
    <row r="12" spans="1:8">
      <c r="A12" s="1" t="s">
        <v>20</v>
      </c>
      <c r="B12" s="2">
        <v>3.243997812271118</v>
      </c>
      <c r="C12" s="1">
        <v>1766</v>
      </c>
      <c r="D12" s="1">
        <v>0</v>
      </c>
      <c r="E12" s="1">
        <v>1766</v>
      </c>
      <c r="F12" s="1">
        <v>0</v>
      </c>
      <c r="G12" s="1">
        <v>0</v>
      </c>
      <c r="H12" s="1">
        <v>0</v>
      </c>
    </row>
    <row r="13" spans="1:8">
      <c r="A13" s="1" t="s">
        <v>21</v>
      </c>
      <c r="B13" s="2">
        <v>2.476166009902954</v>
      </c>
      <c r="C13" s="1">
        <v>1348</v>
      </c>
      <c r="D13" s="1">
        <v>0</v>
      </c>
      <c r="E13" s="1">
        <v>132</v>
      </c>
      <c r="F13" s="1">
        <v>1216</v>
      </c>
      <c r="G13" s="1">
        <v>0</v>
      </c>
      <c r="H13" s="1">
        <v>0</v>
      </c>
    </row>
    <row r="14" spans="1:8">
      <c r="A14" s="1" t="s">
        <v>22</v>
      </c>
      <c r="B14" s="2">
        <v>2.450449228286743</v>
      </c>
      <c r="C14" s="1">
        <v>1334</v>
      </c>
      <c r="D14" s="1">
        <v>0</v>
      </c>
      <c r="E14" s="1">
        <v>1334</v>
      </c>
      <c r="F14" s="1">
        <v>0</v>
      </c>
      <c r="G14" s="1">
        <v>0</v>
      </c>
      <c r="H14" s="1">
        <v>0</v>
      </c>
    </row>
    <row r="15" spans="1:8">
      <c r="A15" s="1" t="s">
        <v>23</v>
      </c>
      <c r="B15" s="2">
        <v>2.027957916259766</v>
      </c>
      <c r="C15" s="1">
        <v>1104</v>
      </c>
      <c r="D15" s="1">
        <v>0</v>
      </c>
      <c r="E15" s="1">
        <v>1104</v>
      </c>
      <c r="F15" s="1">
        <v>0</v>
      </c>
      <c r="G15" s="1">
        <v>0</v>
      </c>
      <c r="H15" s="1">
        <v>0</v>
      </c>
    </row>
    <row r="16" spans="1:8">
      <c r="A16" s="1" t="s">
        <v>16</v>
      </c>
      <c r="B16" s="2">
        <v>1.781810879707336</v>
      </c>
      <c r="C16" s="1">
        <v>970</v>
      </c>
      <c r="D16" s="1">
        <v>4</v>
      </c>
      <c r="E16" s="1">
        <v>966</v>
      </c>
      <c r="F16" s="1">
        <v>0</v>
      </c>
      <c r="G16" s="1">
        <v>4</v>
      </c>
      <c r="H16" s="1">
        <v>0</v>
      </c>
    </row>
    <row r="17" spans="1:8">
      <c r="A17" s="1" t="s">
        <v>17</v>
      </c>
      <c r="B17" s="2">
        <v>1.730377078056335</v>
      </c>
      <c r="C17" s="1">
        <v>942</v>
      </c>
      <c r="D17" s="1">
        <v>2</v>
      </c>
      <c r="E17" s="1">
        <v>940</v>
      </c>
      <c r="F17" s="1">
        <v>0</v>
      </c>
      <c r="G17" s="1">
        <v>2</v>
      </c>
      <c r="H17" s="1">
        <v>0</v>
      </c>
    </row>
    <row r="18" spans="1:8">
      <c r="A18" s="1" t="s">
        <v>9</v>
      </c>
      <c r="B18" s="2">
        <v>1.675269603729248</v>
      </c>
      <c r="C18" s="1">
        <v>912</v>
      </c>
      <c r="D18" s="1">
        <v>64</v>
      </c>
      <c r="E18" s="1">
        <v>844</v>
      </c>
      <c r="F18" s="1">
        <v>4</v>
      </c>
      <c r="G18" s="1">
        <v>64</v>
      </c>
      <c r="H18" s="1">
        <v>0</v>
      </c>
    </row>
    <row r="19" spans="1:8">
      <c r="A19" s="1" t="s">
        <v>24</v>
      </c>
      <c r="B19" s="2">
        <v>1.594445109367371</v>
      </c>
      <c r="C19" s="1">
        <v>868</v>
      </c>
      <c r="D19" s="1">
        <v>0</v>
      </c>
      <c r="E19" s="1">
        <v>868</v>
      </c>
      <c r="F19" s="1">
        <v>0</v>
      </c>
      <c r="G19" s="1">
        <v>0</v>
      </c>
      <c r="H19" s="1">
        <v>0</v>
      </c>
    </row>
    <row r="20" spans="1:8">
      <c r="A20" s="1" t="s">
        <v>25</v>
      </c>
      <c r="B20" s="2">
        <v>1.256452202796936</v>
      </c>
      <c r="C20" s="1">
        <v>684</v>
      </c>
      <c r="D20" s="1">
        <v>0</v>
      </c>
      <c r="E20" s="1">
        <v>684</v>
      </c>
      <c r="F20" s="1">
        <v>0</v>
      </c>
      <c r="G20" s="1">
        <v>0</v>
      </c>
      <c r="H20" s="1">
        <v>0</v>
      </c>
    </row>
    <row r="21" spans="1:8">
      <c r="A21" s="1" t="s">
        <v>26</v>
      </c>
      <c r="B21" s="2">
        <v>1.238083004951477</v>
      </c>
      <c r="C21" s="1">
        <v>674</v>
      </c>
      <c r="D21" s="1">
        <v>0</v>
      </c>
      <c r="E21" s="1">
        <v>674</v>
      </c>
      <c r="F21" s="1">
        <v>0</v>
      </c>
      <c r="G21" s="1">
        <v>0</v>
      </c>
      <c r="H21" s="1">
        <v>0</v>
      </c>
    </row>
    <row r="22" spans="1:8">
      <c r="A22" s="1" t="s">
        <v>27</v>
      </c>
      <c r="B22" s="2">
        <v>1.190323114395142</v>
      </c>
      <c r="C22" s="1">
        <v>648</v>
      </c>
      <c r="D22" s="1">
        <v>0</v>
      </c>
      <c r="E22" s="1">
        <v>648</v>
      </c>
      <c r="F22" s="1">
        <v>0</v>
      </c>
      <c r="G22" s="1">
        <v>0</v>
      </c>
      <c r="H22" s="1">
        <v>0</v>
      </c>
    </row>
    <row r="23" spans="1:8">
      <c r="A23" s="1" t="s">
        <v>28</v>
      </c>
      <c r="B23" s="2">
        <v>1.098477244377136</v>
      </c>
      <c r="C23" s="1">
        <v>598</v>
      </c>
      <c r="D23" s="1">
        <v>0</v>
      </c>
      <c r="E23" s="1">
        <v>598</v>
      </c>
      <c r="F23" s="1">
        <v>0</v>
      </c>
      <c r="G23" s="1">
        <v>0</v>
      </c>
      <c r="H23" s="1">
        <v>0</v>
      </c>
    </row>
    <row r="24" spans="1:8">
      <c r="A24" s="1" t="s">
        <v>6</v>
      </c>
      <c r="B24" s="2">
        <v>1.050717353820801</v>
      </c>
      <c r="C24" s="1">
        <v>572</v>
      </c>
      <c r="D24" s="1">
        <v>196</v>
      </c>
      <c r="E24" s="1">
        <v>362</v>
      </c>
      <c r="F24" s="1">
        <v>14</v>
      </c>
      <c r="G24" s="1">
        <v>196</v>
      </c>
      <c r="H24" s="1">
        <v>0</v>
      </c>
    </row>
    <row r="25" spans="1:8">
      <c r="A25" s="1" t="s">
        <v>29</v>
      </c>
      <c r="B25" s="2">
        <v>0.9294807314872742</v>
      </c>
      <c r="C25" s="1">
        <v>506</v>
      </c>
      <c r="D25" s="1">
        <v>0</v>
      </c>
      <c r="E25" s="1">
        <v>506</v>
      </c>
      <c r="F25" s="1">
        <v>0</v>
      </c>
      <c r="G25" s="1">
        <v>0</v>
      </c>
      <c r="H25" s="1">
        <v>0</v>
      </c>
    </row>
    <row r="26" spans="1:8">
      <c r="A26" s="1" t="s">
        <v>30</v>
      </c>
      <c r="B26" s="2">
        <v>0.8890684843063355</v>
      </c>
      <c r="C26" s="1">
        <v>484</v>
      </c>
      <c r="D26" s="1">
        <v>0</v>
      </c>
      <c r="E26" s="1">
        <v>484</v>
      </c>
      <c r="F26" s="1">
        <v>0</v>
      </c>
      <c r="G26" s="1">
        <v>0</v>
      </c>
      <c r="H26" s="1">
        <v>0</v>
      </c>
    </row>
    <row r="27" spans="1:8">
      <c r="A27" s="1" t="s">
        <v>31</v>
      </c>
      <c r="B27" s="2">
        <v>0.8890684843063355</v>
      </c>
      <c r="C27" s="1">
        <v>484</v>
      </c>
      <c r="D27" s="1">
        <v>0</v>
      </c>
      <c r="E27" s="1">
        <v>484</v>
      </c>
      <c r="F27" s="1">
        <v>0</v>
      </c>
      <c r="G27" s="1">
        <v>0</v>
      </c>
      <c r="H27" s="1">
        <v>0</v>
      </c>
    </row>
    <row r="28" spans="1:8">
      <c r="A28" s="1" t="s">
        <v>4</v>
      </c>
      <c r="B28" s="2">
        <v>0.8523301482200623</v>
      </c>
      <c r="C28" s="1">
        <v>464</v>
      </c>
      <c r="D28" s="1">
        <v>2576</v>
      </c>
      <c r="E28" s="1">
        <v>448</v>
      </c>
      <c r="F28" s="1">
        <v>0</v>
      </c>
      <c r="G28" s="1">
        <v>16</v>
      </c>
      <c r="H28" s="1">
        <v>2560</v>
      </c>
    </row>
    <row r="29" spans="1:8">
      <c r="A29" s="1" t="s">
        <v>2</v>
      </c>
      <c r="B29" s="2">
        <v>0.8523301482200623</v>
      </c>
      <c r="C29" s="1">
        <v>464</v>
      </c>
      <c r="D29" s="1">
        <v>8192</v>
      </c>
      <c r="E29" s="1">
        <v>36</v>
      </c>
      <c r="F29" s="1">
        <v>428</v>
      </c>
      <c r="G29" s="1">
        <v>0</v>
      </c>
      <c r="H29" s="1">
        <v>8192</v>
      </c>
    </row>
    <row r="30" spans="1:8">
      <c r="A30" s="1" t="s">
        <v>32</v>
      </c>
      <c r="B30" s="2">
        <v>0.7788534164428711</v>
      </c>
      <c r="C30" s="1">
        <v>424</v>
      </c>
      <c r="D30" s="1">
        <v>0</v>
      </c>
      <c r="E30" s="1">
        <v>424</v>
      </c>
      <c r="F30" s="1">
        <v>0</v>
      </c>
      <c r="G30" s="1">
        <v>0</v>
      </c>
      <c r="H30" s="1">
        <v>0</v>
      </c>
    </row>
    <row r="31" spans="1:8">
      <c r="A31" s="1" t="s">
        <v>33</v>
      </c>
      <c r="B31" s="2">
        <v>0.7127243280410767</v>
      </c>
      <c r="C31" s="1">
        <v>388</v>
      </c>
      <c r="D31" s="1">
        <v>0</v>
      </c>
      <c r="E31" s="1">
        <v>388</v>
      </c>
      <c r="F31" s="1">
        <v>0</v>
      </c>
      <c r="G31" s="1">
        <v>0</v>
      </c>
      <c r="H31" s="1">
        <v>0</v>
      </c>
    </row>
    <row r="32" spans="1:8">
      <c r="A32" s="1" t="s">
        <v>34</v>
      </c>
      <c r="B32" s="2">
        <v>0.6245522499084473</v>
      </c>
      <c r="C32" s="1">
        <v>340</v>
      </c>
      <c r="D32" s="1">
        <v>0</v>
      </c>
      <c r="E32" s="1">
        <v>340</v>
      </c>
      <c r="F32" s="1">
        <v>0</v>
      </c>
      <c r="G32" s="1">
        <v>0</v>
      </c>
      <c r="H32" s="1">
        <v>0</v>
      </c>
    </row>
    <row r="33" spans="1:8">
      <c r="A33" s="1" t="s">
        <v>35</v>
      </c>
      <c r="B33" s="2">
        <v>0.6135307550430298</v>
      </c>
      <c r="C33" s="1">
        <v>334</v>
      </c>
      <c r="D33" s="1">
        <v>0</v>
      </c>
      <c r="E33" s="1">
        <v>334</v>
      </c>
      <c r="F33" s="1">
        <v>0</v>
      </c>
      <c r="G33" s="1">
        <v>0</v>
      </c>
      <c r="H33" s="1">
        <v>0</v>
      </c>
    </row>
    <row r="34" spans="1:8">
      <c r="A34" s="1" t="s">
        <v>36</v>
      </c>
      <c r="B34" s="2">
        <v>0.5804662108421326</v>
      </c>
      <c r="C34" s="1">
        <v>316</v>
      </c>
      <c r="D34" s="1">
        <v>0</v>
      </c>
      <c r="E34" s="1">
        <v>316</v>
      </c>
      <c r="F34" s="1">
        <v>0</v>
      </c>
      <c r="G34" s="1">
        <v>0</v>
      </c>
      <c r="H34" s="1">
        <v>0</v>
      </c>
    </row>
    <row r="35" spans="1:8">
      <c r="A35" s="1" t="s">
        <v>12</v>
      </c>
      <c r="B35" s="2">
        <v>0.5731185078620911</v>
      </c>
      <c r="C35" s="1">
        <v>312</v>
      </c>
      <c r="D35" s="1">
        <v>16</v>
      </c>
      <c r="E35" s="1">
        <v>312</v>
      </c>
      <c r="F35" s="1">
        <v>0</v>
      </c>
      <c r="G35" s="1">
        <v>0</v>
      </c>
      <c r="H35" s="1">
        <v>16</v>
      </c>
    </row>
    <row r="36" spans="1:8">
      <c r="A36" s="1" t="s">
        <v>13</v>
      </c>
      <c r="B36" s="2">
        <v>0.5198479294776917</v>
      </c>
      <c r="C36" s="1">
        <v>283</v>
      </c>
      <c r="D36" s="1">
        <v>7</v>
      </c>
      <c r="E36" s="1">
        <v>276</v>
      </c>
      <c r="F36" s="1">
        <v>0</v>
      </c>
      <c r="G36" s="1">
        <v>7</v>
      </c>
      <c r="H36" s="1">
        <v>0</v>
      </c>
    </row>
    <row r="37" spans="1:8">
      <c r="A37" s="1" t="s">
        <v>37</v>
      </c>
      <c r="B37" s="2">
        <v>0.4849464595317841</v>
      </c>
      <c r="C37" s="1">
        <v>264</v>
      </c>
      <c r="D37" s="1">
        <v>0</v>
      </c>
      <c r="E37" s="1">
        <v>264</v>
      </c>
      <c r="F37" s="1">
        <v>0</v>
      </c>
      <c r="G37" s="1">
        <v>0</v>
      </c>
      <c r="H37" s="1">
        <v>0</v>
      </c>
    </row>
    <row r="38" spans="1:8">
      <c r="A38" s="1" t="s">
        <v>38</v>
      </c>
      <c r="B38" s="2">
        <v>0.4518819153308868</v>
      </c>
      <c r="C38" s="1">
        <v>246</v>
      </c>
      <c r="D38" s="1">
        <v>0</v>
      </c>
      <c r="E38" s="1">
        <v>246</v>
      </c>
      <c r="F38" s="1">
        <v>0</v>
      </c>
      <c r="G38" s="1">
        <v>0</v>
      </c>
      <c r="H38" s="1">
        <v>0</v>
      </c>
    </row>
    <row r="39" spans="1:8">
      <c r="A39" s="1" t="s">
        <v>39</v>
      </c>
      <c r="B39" s="2">
        <v>0.418817400932312</v>
      </c>
      <c r="C39" s="1">
        <v>228</v>
      </c>
      <c r="D39" s="1">
        <v>0</v>
      </c>
      <c r="E39" s="1">
        <v>228</v>
      </c>
      <c r="F39" s="1">
        <v>0</v>
      </c>
      <c r="G39" s="1">
        <v>0</v>
      </c>
      <c r="H39" s="1">
        <v>0</v>
      </c>
    </row>
    <row r="40" spans="1:8">
      <c r="A40" s="1" t="s">
        <v>40</v>
      </c>
      <c r="B40" s="2">
        <v>0.4114697277545929</v>
      </c>
      <c r="C40" s="1">
        <v>224</v>
      </c>
      <c r="D40" s="1">
        <v>0</v>
      </c>
      <c r="E40" s="1">
        <v>224</v>
      </c>
      <c r="F40" s="1">
        <v>0</v>
      </c>
      <c r="G40" s="1">
        <v>0</v>
      </c>
      <c r="H40" s="1">
        <v>0</v>
      </c>
    </row>
    <row r="41" spans="1:8">
      <c r="A41" s="1" t="s">
        <v>41</v>
      </c>
      <c r="B41" s="2">
        <v>0.4077958762645721</v>
      </c>
      <c r="C41" s="1">
        <v>222</v>
      </c>
      <c r="D41" s="1">
        <v>0</v>
      </c>
      <c r="E41" s="1">
        <v>222</v>
      </c>
      <c r="F41" s="1">
        <v>0</v>
      </c>
      <c r="G41" s="1">
        <v>0</v>
      </c>
      <c r="H41" s="1">
        <v>0</v>
      </c>
    </row>
    <row r="42" spans="1:8">
      <c r="A42" s="1" t="s">
        <v>42</v>
      </c>
      <c r="B42" s="2">
        <v>0.3637098371982575</v>
      </c>
      <c r="C42" s="1">
        <v>198</v>
      </c>
      <c r="D42" s="1">
        <v>0</v>
      </c>
      <c r="E42" s="1">
        <v>198</v>
      </c>
      <c r="F42" s="1">
        <v>0</v>
      </c>
      <c r="G42" s="1">
        <v>0</v>
      </c>
      <c r="H42" s="1">
        <v>0</v>
      </c>
    </row>
    <row r="43" spans="1:8">
      <c r="A43" s="1" t="s">
        <v>43</v>
      </c>
      <c r="B43" s="2">
        <v>0.3600360155105591</v>
      </c>
      <c r="C43" s="1">
        <v>196</v>
      </c>
      <c r="D43" s="1">
        <v>0</v>
      </c>
      <c r="E43" s="1">
        <v>196</v>
      </c>
      <c r="F43" s="1">
        <v>0</v>
      </c>
      <c r="G43" s="1">
        <v>0</v>
      </c>
      <c r="H43" s="1">
        <v>0</v>
      </c>
    </row>
    <row r="44" spans="1:8">
      <c r="A44" s="1" t="s">
        <v>44</v>
      </c>
      <c r="B44" s="2">
        <v>0.3416668176651001</v>
      </c>
      <c r="C44" s="1">
        <v>186</v>
      </c>
      <c r="D44" s="1">
        <v>0</v>
      </c>
      <c r="E44" s="1">
        <v>186</v>
      </c>
      <c r="F44" s="1">
        <v>0</v>
      </c>
      <c r="G44" s="1">
        <v>0</v>
      </c>
      <c r="H44" s="1">
        <v>0</v>
      </c>
    </row>
    <row r="45" spans="1:8">
      <c r="A45" s="1" t="s">
        <v>45</v>
      </c>
      <c r="B45" s="2">
        <v>0.334319144487381</v>
      </c>
      <c r="C45" s="1">
        <v>182</v>
      </c>
      <c r="D45" s="1">
        <v>0</v>
      </c>
      <c r="E45" s="1">
        <v>182</v>
      </c>
      <c r="F45" s="1">
        <v>0</v>
      </c>
      <c r="G45" s="1">
        <v>0</v>
      </c>
      <c r="H45" s="1">
        <v>0</v>
      </c>
    </row>
    <row r="46" spans="1:8">
      <c r="A46" s="1" t="s">
        <v>7</v>
      </c>
      <c r="B46" s="2">
        <v>0.3232976496219635</v>
      </c>
      <c r="C46" s="1">
        <v>176</v>
      </c>
      <c r="D46" s="1">
        <v>76</v>
      </c>
      <c r="E46" s="1">
        <v>100</v>
      </c>
      <c r="F46" s="1">
        <v>0</v>
      </c>
      <c r="G46" s="1">
        <v>76</v>
      </c>
      <c r="H46" s="1">
        <v>0</v>
      </c>
    </row>
    <row r="47" spans="1:8">
      <c r="A47" s="1" t="s">
        <v>46</v>
      </c>
      <c r="B47" s="2">
        <v>0.3159499764442444</v>
      </c>
      <c r="C47" s="1">
        <v>172</v>
      </c>
      <c r="D47" s="1">
        <v>0</v>
      </c>
      <c r="E47" s="1">
        <v>172</v>
      </c>
      <c r="F47" s="1">
        <v>0</v>
      </c>
      <c r="G47" s="1">
        <v>0</v>
      </c>
      <c r="H47" s="1">
        <v>0</v>
      </c>
    </row>
    <row r="48" spans="1:8">
      <c r="A48" s="1" t="s">
        <v>15</v>
      </c>
      <c r="B48" s="2">
        <v>0.3086023032665253</v>
      </c>
      <c r="C48" s="1">
        <v>168</v>
      </c>
      <c r="D48" s="1">
        <v>4</v>
      </c>
      <c r="E48" s="1">
        <v>164</v>
      </c>
      <c r="F48" s="1">
        <v>0</v>
      </c>
      <c r="G48" s="1">
        <v>4</v>
      </c>
      <c r="H48" s="1">
        <v>0</v>
      </c>
    </row>
    <row r="49" spans="1:8">
      <c r="A49" s="1" t="s">
        <v>47</v>
      </c>
      <c r="B49" s="2">
        <v>0.209408700466156</v>
      </c>
      <c r="C49" s="1">
        <v>114</v>
      </c>
      <c r="D49" s="1">
        <v>0</v>
      </c>
      <c r="E49" s="1">
        <v>114</v>
      </c>
      <c r="F49" s="1">
        <v>0</v>
      </c>
      <c r="G49" s="1">
        <v>0</v>
      </c>
      <c r="H49" s="1">
        <v>0</v>
      </c>
    </row>
    <row r="50" spans="1:8">
      <c r="A50" s="1" t="s">
        <v>48</v>
      </c>
      <c r="B50" s="2">
        <v>0.1910395175218582</v>
      </c>
      <c r="C50" s="1">
        <v>104</v>
      </c>
      <c r="D50" s="1">
        <v>0</v>
      </c>
      <c r="E50" s="1">
        <v>104</v>
      </c>
      <c r="F50" s="1">
        <v>0</v>
      </c>
      <c r="G50" s="1">
        <v>0</v>
      </c>
      <c r="H50" s="1">
        <v>0</v>
      </c>
    </row>
    <row r="51" spans="1:8">
      <c r="A51" s="1" t="s">
        <v>49</v>
      </c>
      <c r="B51" s="2">
        <v>0.1800180077552795</v>
      </c>
      <c r="C51" s="1">
        <v>98</v>
      </c>
      <c r="D51" s="1">
        <v>0</v>
      </c>
      <c r="E51" s="1">
        <v>98</v>
      </c>
      <c r="F51" s="1">
        <v>0</v>
      </c>
      <c r="G51" s="1">
        <v>0</v>
      </c>
      <c r="H51" s="1">
        <v>0</v>
      </c>
    </row>
    <row r="52" spans="1:8">
      <c r="A52" s="1" t="s">
        <v>50</v>
      </c>
      <c r="B52" s="2">
        <v>0.1800180077552795</v>
      </c>
      <c r="C52" s="1">
        <v>98</v>
      </c>
      <c r="D52" s="1">
        <v>0</v>
      </c>
      <c r="E52" s="1">
        <v>98</v>
      </c>
      <c r="F52" s="1">
        <v>0</v>
      </c>
      <c r="G52" s="1">
        <v>0</v>
      </c>
      <c r="H52" s="1">
        <v>0</v>
      </c>
    </row>
    <row r="53" spans="1:8">
      <c r="A53" s="1" t="s">
        <v>51</v>
      </c>
      <c r="B53" s="2">
        <v>0.1579749882221222</v>
      </c>
      <c r="C53" s="1">
        <v>86</v>
      </c>
      <c r="D53" s="1">
        <v>0</v>
      </c>
      <c r="E53" s="1">
        <v>86</v>
      </c>
      <c r="F53" s="1">
        <v>0</v>
      </c>
      <c r="G53" s="1">
        <v>0</v>
      </c>
      <c r="H53" s="1">
        <v>0</v>
      </c>
    </row>
    <row r="54" spans="1:8">
      <c r="A54" s="1" t="s">
        <v>52</v>
      </c>
      <c r="B54" s="2">
        <v>0.1102151051163673</v>
      </c>
      <c r="C54" s="1">
        <v>60</v>
      </c>
      <c r="D54" s="1">
        <v>0</v>
      </c>
      <c r="E54" s="1">
        <v>60</v>
      </c>
      <c r="F54" s="1">
        <v>0</v>
      </c>
      <c r="G54" s="1">
        <v>0</v>
      </c>
      <c r="H54" s="1">
        <v>0</v>
      </c>
    </row>
    <row r="55" spans="1:8">
      <c r="A55" s="1" t="s">
        <v>53</v>
      </c>
      <c r="B55" s="2">
        <v>0.08817208558320999</v>
      </c>
      <c r="C55" s="1">
        <v>48</v>
      </c>
      <c r="D55" s="1">
        <v>0</v>
      </c>
      <c r="E55" s="1">
        <v>48</v>
      </c>
      <c r="F55" s="1">
        <v>0</v>
      </c>
      <c r="G55" s="1">
        <v>0</v>
      </c>
      <c r="H55" s="1">
        <v>0</v>
      </c>
    </row>
    <row r="56" spans="1:8">
      <c r="A56" s="1" t="s">
        <v>54</v>
      </c>
      <c r="B56" s="2">
        <v>0.08817208558320999</v>
      </c>
      <c r="C56" s="1">
        <v>48</v>
      </c>
      <c r="D56" s="1">
        <v>0</v>
      </c>
      <c r="E56" s="1">
        <v>48</v>
      </c>
      <c r="F56" s="1">
        <v>0</v>
      </c>
      <c r="G56" s="1">
        <v>0</v>
      </c>
      <c r="H56" s="1">
        <v>0</v>
      </c>
    </row>
    <row r="57" spans="1:8">
      <c r="A57" s="1" t="s">
        <v>55</v>
      </c>
      <c r="B57" s="2">
        <v>0.08082441240549088</v>
      </c>
      <c r="C57" s="1">
        <v>44</v>
      </c>
      <c r="D57" s="1">
        <v>0</v>
      </c>
      <c r="E57" s="1">
        <v>44</v>
      </c>
      <c r="F57" s="1">
        <v>0</v>
      </c>
      <c r="G57" s="1">
        <v>0</v>
      </c>
      <c r="H57" s="1">
        <v>0</v>
      </c>
    </row>
    <row r="58" spans="1:8">
      <c r="A58" s="1" t="s">
        <v>56</v>
      </c>
      <c r="B58" s="2">
        <v>0.0698028951883316</v>
      </c>
      <c r="C58" s="1">
        <v>38</v>
      </c>
      <c r="D58" s="1">
        <v>0</v>
      </c>
      <c r="E58" s="1">
        <v>38</v>
      </c>
      <c r="F58" s="1">
        <v>0</v>
      </c>
      <c r="G58" s="1">
        <v>0</v>
      </c>
      <c r="H58" s="1">
        <v>0</v>
      </c>
    </row>
    <row r="59" spans="1:8">
      <c r="A59" s="1" t="s">
        <v>57</v>
      </c>
      <c r="B59" s="2">
        <v>0.06612905859947205</v>
      </c>
      <c r="C59" s="1">
        <v>36</v>
      </c>
      <c r="D59" s="1">
        <v>0</v>
      </c>
      <c r="E59" s="1">
        <v>36</v>
      </c>
      <c r="F59" s="1">
        <v>0</v>
      </c>
      <c r="G59" s="1">
        <v>0</v>
      </c>
      <c r="H59" s="1">
        <v>0</v>
      </c>
    </row>
    <row r="60" spans="1:8">
      <c r="A60" s="1" t="s">
        <v>58</v>
      </c>
      <c r="B60" s="2">
        <v>0.06612905859947205</v>
      </c>
      <c r="C60" s="1">
        <v>36</v>
      </c>
      <c r="D60" s="1">
        <v>0</v>
      </c>
      <c r="E60" s="1">
        <v>36</v>
      </c>
      <c r="F60" s="1">
        <v>0</v>
      </c>
      <c r="G60" s="1">
        <v>0</v>
      </c>
      <c r="H60" s="1">
        <v>0</v>
      </c>
    </row>
    <row r="61" spans="1:8">
      <c r="A61" s="1" t="s">
        <v>59</v>
      </c>
      <c r="B61" s="2">
        <v>0.06612905859947205</v>
      </c>
      <c r="C61" s="1">
        <v>36</v>
      </c>
      <c r="D61" s="1">
        <v>0</v>
      </c>
      <c r="E61" s="1">
        <v>36</v>
      </c>
      <c r="F61" s="1">
        <v>0</v>
      </c>
      <c r="G61" s="1">
        <v>0</v>
      </c>
      <c r="H61" s="1">
        <v>0</v>
      </c>
    </row>
    <row r="62" spans="1:8">
      <c r="A62" s="1" t="s">
        <v>60</v>
      </c>
      <c r="B62" s="2">
        <v>0.06612905859947205</v>
      </c>
      <c r="C62" s="1">
        <v>36</v>
      </c>
      <c r="D62" s="1">
        <v>0</v>
      </c>
      <c r="E62" s="1">
        <v>36</v>
      </c>
      <c r="F62" s="1">
        <v>0</v>
      </c>
      <c r="G62" s="1">
        <v>0</v>
      </c>
      <c r="H62" s="1">
        <v>0</v>
      </c>
    </row>
    <row r="63" spans="1:8">
      <c r="A63" s="1" t="s">
        <v>61</v>
      </c>
      <c r="B63" s="2">
        <v>0.05878138914704323</v>
      </c>
      <c r="C63" s="1">
        <v>32</v>
      </c>
      <c r="D63" s="1">
        <v>0</v>
      </c>
      <c r="E63" s="1">
        <v>32</v>
      </c>
      <c r="F63" s="1">
        <v>0</v>
      </c>
      <c r="G63" s="1">
        <v>0</v>
      </c>
      <c r="H63" s="1">
        <v>0</v>
      </c>
    </row>
    <row r="64" spans="1:8">
      <c r="A64" s="1" t="s">
        <v>62</v>
      </c>
      <c r="B64" s="2">
        <v>0.05878138914704323</v>
      </c>
      <c r="C64" s="1">
        <v>32</v>
      </c>
      <c r="D64" s="1">
        <v>0</v>
      </c>
      <c r="E64" s="1">
        <v>32</v>
      </c>
      <c r="F64" s="1">
        <v>0</v>
      </c>
      <c r="G64" s="1">
        <v>0</v>
      </c>
      <c r="H64" s="1">
        <v>0</v>
      </c>
    </row>
    <row r="65" spans="1:8">
      <c r="A65" s="1" t="s">
        <v>63</v>
      </c>
      <c r="B65" s="2">
        <v>0.05878138914704323</v>
      </c>
      <c r="C65" s="1">
        <v>32</v>
      </c>
      <c r="D65" s="1">
        <v>0</v>
      </c>
      <c r="E65" s="1">
        <v>32</v>
      </c>
      <c r="F65" s="1">
        <v>0</v>
      </c>
      <c r="G65" s="1">
        <v>0</v>
      </c>
      <c r="H65" s="1">
        <v>0</v>
      </c>
    </row>
    <row r="66" spans="1:8">
      <c r="A66" s="1" t="s">
        <v>64</v>
      </c>
      <c r="B66" s="2">
        <v>0.05510755255818367</v>
      </c>
      <c r="C66" s="1">
        <v>30</v>
      </c>
      <c r="D66" s="1">
        <v>0</v>
      </c>
      <c r="E66" s="1">
        <v>30</v>
      </c>
      <c r="F66" s="1">
        <v>0</v>
      </c>
      <c r="G66" s="1">
        <v>0</v>
      </c>
      <c r="H66" s="1">
        <v>0</v>
      </c>
    </row>
    <row r="67" spans="1:8">
      <c r="A67" s="1" t="s">
        <v>65</v>
      </c>
      <c r="B67" s="2">
        <v>0.05510755255818367</v>
      </c>
      <c r="C67" s="1">
        <v>30</v>
      </c>
      <c r="D67" s="1">
        <v>0</v>
      </c>
      <c r="E67" s="1">
        <v>30</v>
      </c>
      <c r="F67" s="1">
        <v>0</v>
      </c>
      <c r="G67" s="1">
        <v>0</v>
      </c>
      <c r="H67" s="1">
        <v>0</v>
      </c>
    </row>
    <row r="68" spans="1:8">
      <c r="A68" s="1" t="s">
        <v>66</v>
      </c>
      <c r="B68" s="2">
        <v>0.04775987938046455</v>
      </c>
      <c r="C68" s="1">
        <v>26</v>
      </c>
      <c r="D68" s="1">
        <v>0</v>
      </c>
      <c r="E68" s="1">
        <v>26</v>
      </c>
      <c r="F68" s="1">
        <v>0</v>
      </c>
      <c r="G68" s="1">
        <v>0</v>
      </c>
      <c r="H68" s="1">
        <v>0</v>
      </c>
    </row>
    <row r="69" spans="1:8">
      <c r="A69" s="1" t="s">
        <v>67</v>
      </c>
      <c r="B69" s="2">
        <v>0.02571685798466206</v>
      </c>
      <c r="C69" s="1">
        <v>14</v>
      </c>
      <c r="D69" s="1">
        <v>0</v>
      </c>
      <c r="E69" s="1">
        <v>14</v>
      </c>
      <c r="F69" s="1">
        <v>0</v>
      </c>
      <c r="G69" s="1">
        <v>0</v>
      </c>
      <c r="H69" s="1">
        <v>0</v>
      </c>
    </row>
    <row r="70" spans="1:8">
      <c r="A70" s="1" t="s">
        <v>68</v>
      </c>
      <c r="B70" s="2">
        <v>0.01469534728676081</v>
      </c>
      <c r="C70" s="1">
        <v>8</v>
      </c>
      <c r="D70" s="1">
        <v>0</v>
      </c>
      <c r="E70" s="1">
        <v>8</v>
      </c>
      <c r="F70" s="1">
        <v>0</v>
      </c>
      <c r="G70" s="1">
        <v>0</v>
      </c>
      <c r="H70" s="1">
        <v>0</v>
      </c>
    </row>
    <row r="71" spans="1:8">
      <c r="A71" s="1" t="s">
        <v>69</v>
      </c>
      <c r="B71" s="2">
        <v>0.01469534728676081</v>
      </c>
      <c r="C71" s="1">
        <v>8</v>
      </c>
      <c r="D71" s="1">
        <v>0</v>
      </c>
      <c r="E71" s="1">
        <v>8</v>
      </c>
      <c r="F71" s="1">
        <v>0</v>
      </c>
      <c r="G71" s="1">
        <v>0</v>
      </c>
      <c r="H71" s="1">
        <v>0</v>
      </c>
    </row>
    <row r="72" spans="1:8">
      <c r="A72" s="1" t="s">
        <v>70</v>
      </c>
      <c r="B72" s="2">
        <v>0.007347673643380404</v>
      </c>
      <c r="C72" s="1">
        <v>4</v>
      </c>
      <c r="D72" s="1">
        <v>0</v>
      </c>
      <c r="E72" s="1">
        <v>4</v>
      </c>
      <c r="F72" s="1">
        <v>0</v>
      </c>
      <c r="G72" s="1">
        <v>0</v>
      </c>
      <c r="H72" s="1">
        <v>0</v>
      </c>
    </row>
    <row r="73" spans="1:8">
      <c r="A73" s="1" t="s">
        <v>71</v>
      </c>
      <c r="B73" s="2">
        <v>0.007347673643380404</v>
      </c>
      <c r="C73" s="1">
        <v>4</v>
      </c>
      <c r="D73" s="1">
        <v>0</v>
      </c>
      <c r="E73" s="1">
        <v>4</v>
      </c>
      <c r="F73" s="1">
        <v>0</v>
      </c>
      <c r="G73" s="1">
        <v>0</v>
      </c>
      <c r="H73" s="1">
        <v>0</v>
      </c>
    </row>
    <row r="74" spans="1:8">
      <c r="A74" t="s">
        <v>73</v>
      </c>
      <c r="B74">
        <f>SUBTOTAL(109,[flash_percent])</f>
        <v>0</v>
      </c>
      <c r="C74">
        <f>SUBTOTAL(109,[flash])</f>
        <v>0</v>
      </c>
      <c r="D74">
        <f>SUBTOTAL(109,[ram])</f>
        <v>0</v>
      </c>
      <c r="E74">
        <f>SUBTOTAL(109,[Code])</f>
        <v>0</v>
      </c>
      <c r="F74">
        <f>SUBTOTAL(109,[RO_data])</f>
        <v>0</v>
      </c>
      <c r="G74">
        <f>SUBTOTAL(109,[RW_data])</f>
        <v>0</v>
      </c>
      <c r="H74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2026-06-03T15:50:18Z</dcterms:created>
  <dcterms:modified xsi:type="dcterms:W3CDTF">2026-06-03T15:50:18Z</dcterms:modified>
</cp:coreProperties>
</file>